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chirum/Library/Mobile Documents/com~apple~CloudDocs/10 Pro/01 LOC/"/>
    </mc:Choice>
  </mc:AlternateContent>
  <xr:revisionPtr revIDLastSave="0" documentId="8_{19C7AA5C-FA7A-014F-A99A-C4BB251D712E}" xr6:coauthVersionLast="47" xr6:coauthVersionMax="47" xr10:uidLastSave="{00000000-0000-0000-0000-000000000000}"/>
  <bookViews>
    <workbookView xWindow="0" yWindow="660" windowWidth="30240" windowHeight="17700" activeTab="1" xr2:uid="{556D8836-4F9B-4CE7-9DBB-35AB4DE76F51}"/>
  </bookViews>
  <sheets>
    <sheet name="Hoja1" sheetId="1" r:id="rId1"/>
    <sheet name="LOC_KIE_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E16" i="1"/>
  <c r="F16" i="1" s="1"/>
  <c r="G16" i="1" s="1"/>
  <c r="L4" i="1"/>
  <c r="F13" i="1"/>
  <c r="G13" i="1" s="1"/>
  <c r="F12" i="1"/>
  <c r="G12" i="1" s="1"/>
  <c r="H12" i="1" s="1"/>
  <c r="F11" i="1"/>
  <c r="G11" i="1" s="1"/>
  <c r="F10" i="1"/>
  <c r="G10" i="1" s="1"/>
  <c r="F7" i="1"/>
  <c r="G7" i="1" s="1"/>
  <c r="H7" i="1" s="1"/>
  <c r="E7" i="1"/>
  <c r="E6" i="1"/>
  <c r="F6" i="1" s="1"/>
  <c r="G6" i="1" s="1"/>
  <c r="H6" i="1" s="1"/>
  <c r="E5" i="1"/>
  <c r="F5" i="1" s="1"/>
  <c r="G5" i="1" s="1"/>
  <c r="H5" i="1" s="1"/>
  <c r="H11" i="1" l="1"/>
  <c r="I11" i="1"/>
  <c r="I13" i="1"/>
  <c r="H13" i="1"/>
  <c r="I12" i="1"/>
  <c r="I10" i="1"/>
  <c r="H10" i="1"/>
</calcChain>
</file>

<file path=xl/sharedStrings.xml><?xml version="1.0" encoding="utf-8"?>
<sst xmlns="http://schemas.openxmlformats.org/spreadsheetml/2006/main" count="256" uniqueCount="204">
  <si>
    <t>IMD</t>
  </si>
  <si>
    <t>Nanoloan</t>
  </si>
  <si>
    <t>W</t>
  </si>
  <si>
    <t>B</t>
  </si>
  <si>
    <t>M</t>
  </si>
  <si>
    <t>IMD @ FREQ</t>
  </si>
  <si>
    <t>C1</t>
  </si>
  <si>
    <t>C2</t>
  </si>
  <si>
    <t>Plazo</t>
  </si>
  <si>
    <t>Plazo (m)</t>
  </si>
  <si>
    <t>Fee</t>
  </si>
  <si>
    <t>Freq</t>
  </si>
  <si>
    <t>maxAmount</t>
  </si>
  <si>
    <t>Deuda</t>
  </si>
  <si>
    <t>…</t>
  </si>
  <si>
    <t>Intereses</t>
  </si>
  <si>
    <t>Interes</t>
  </si>
  <si>
    <t>Monto</t>
  </si>
  <si>
    <t>LOC (f+v distribuido)</t>
  </si>
  <si>
    <t>LOC (f+v en c1)</t>
  </si>
  <si>
    <t>Techo</t>
  </si>
  <si>
    <t>Nano</t>
  </si>
  <si>
    <t>imd</t>
  </si>
  <si>
    <t>freq</t>
  </si>
  <si>
    <t>fee</t>
  </si>
  <si>
    <t>term</t>
  </si>
  <si>
    <t>Variables Input</t>
  </si>
  <si>
    <t>type</t>
  </si>
  <si>
    <t>ceil</t>
  </si>
  <si>
    <t>floor</t>
  </si>
  <si>
    <t>round</t>
  </si>
  <si>
    <t>📋 LOC - KIE/Kogito Decision Rules — Borrador de Lógica</t>
  </si>
  <si>
    <t>PASO 1 │ INPUTS DEL MODELO (Data Object: LoanRequest)</t>
  </si>
  <si>
    <t>Variable</t>
  </si>
  <si>
    <t>Campo KIE</t>
  </si>
  <si>
    <t>Tipo</t>
  </si>
  <si>
    <t>Descripción</t>
  </si>
  <si>
    <t>Ejemplo</t>
  </si>
  <si>
    <t>Restricciones</t>
  </si>
  <si>
    <t>loanRequest.imd</t>
  </si>
  <si>
    <t>Double</t>
  </si>
  <si>
    <t>Ingreso Mensual Disponible del cliente</t>
  </si>
  <si>
    <t>&gt;= 0</t>
  </si>
  <si>
    <t>loanRequest.term</t>
  </si>
  <si>
    <t>Integer</t>
  </si>
  <si>
    <t>Plazo del crédito en meses</t>
  </si>
  <si>
    <t>2, 3, 4, 5</t>
  </si>
  <si>
    <t>∈ {2, 3, 4, 5}</t>
  </si>
  <si>
    <t>loanRequest.fee</t>
  </si>
  <si>
    <t>Tasa de fee/comisión (decimal)</t>
  </si>
  <si>
    <t>0.20, 0.05</t>
  </si>
  <si>
    <t>roundUnit</t>
  </si>
  <si>
    <t>loanRequest.roundUnit</t>
  </si>
  <si>
    <t>Unidad de redondeo hacia abajo</t>
  </si>
  <si>
    <t>&gt; 0</t>
  </si>
  <si>
    <t>productType</t>
  </si>
  <si>
    <t>loanRequest.productType</t>
  </si>
  <si>
    <t>String</t>
  </si>
  <si>
    <t>Tipo de producto ("LOC")</t>
  </si>
  <si>
    <t>LOC</t>
  </si>
  <si>
    <t>PASO 2 │ LIMPIEZA DE DATOS (Data Cleansing Rules)</t>
  </si>
  <si>
    <t>#</t>
  </si>
  <si>
    <t>Condición (WHEN)</t>
  </si>
  <si>
    <t>Acción (THEN)</t>
  </si>
  <si>
    <t>Prioridad</t>
  </si>
  <si>
    <t>Código DRL (KIE Sandbox)</t>
  </si>
  <si>
    <t>imd == null</t>
  </si>
  <si>
    <t>imd = 0</t>
  </si>
  <si>
    <t>Si IMD es nulo, asignar 0</t>
  </si>
  <si>
    <t>rule "Clean-Null-IMD"
salience 100
when
  $r : LoanRequest(imd == null)
then
  $r.setImd(0.0);
  update($r);
end</t>
  </si>
  <si>
    <t>fee == null</t>
  </si>
  <si>
    <t>fee = 0</t>
  </si>
  <si>
    <t>Si fee es nulo, asignar 0</t>
  </si>
  <si>
    <t>rule "Clean-Null-Fee"
salience 100
when
  $r : LoanRequest(fee == null)
then
  $r.setFee(0.0);
  update($r);
end</t>
  </si>
  <si>
    <t>term == null</t>
  </si>
  <si>
    <t>term = 0</t>
  </si>
  <si>
    <t>Si plazo es nulo, asignar 0</t>
  </si>
  <si>
    <t>rule "Clean-Null-Term"
salience 100
when
  $r : LoanRequest(term == null)
then
  $r.setTerm(0);
  update($r);
end</t>
  </si>
  <si>
    <t>imd &lt; 0</t>
  </si>
  <si>
    <t>Si IMD es negativo, forzar a 0</t>
  </si>
  <si>
    <t>rule "Clean-Neg-IMD"
salience 90
when
  $r : LoanRequest(imd &lt; 0)
then
  $r.setImd(0.0);
  update($r);
end</t>
  </si>
  <si>
    <t>fee &lt; 0</t>
  </si>
  <si>
    <t>Si fee es negativo, forzar a 0</t>
  </si>
  <si>
    <t>rule "Clean-Neg-Fee"
salience 90
when
  $r : LoanRequest(fee &lt; 0)
then
  $r.setFee(0.0);
  update($r);
end</t>
  </si>
  <si>
    <t>term &lt; 0</t>
  </si>
  <si>
    <t>Si plazo es negativo, forzar a 0</t>
  </si>
  <si>
    <t>rule "Clean-Neg-Term"
salience 90
when
  $r : LoanRequest(term &lt; 0)
then
  $r.setTerm(0);
  update($r);
end</t>
  </si>
  <si>
    <t>PASO 3 │ VALIDACIÓN DE DATOS (Validation Gate)</t>
  </si>
  <si>
    <t>Resultado (THEN)</t>
  </si>
  <si>
    <t>imd == 0</t>
  </si>
  <si>
    <t>status = "REJECTED"
maxAmount = 0</t>
  </si>
  <si>
    <t>Sin ingreso → no se puede calcular, rechazar</t>
  </si>
  <si>
    <t>rule "Validate-Zero-IMD"
salience 80
when
  $r : LoanRequest(imd == 0)
then
  $r.setStatus("REJECTED");
  $r.setMaxAmount(0.0);
  $r.setReason("IMD es 0");
end</t>
  </si>
  <si>
    <t>term ∉ {2, 3, 4, 5}</t>
  </si>
  <si>
    <t>Plazo fuera de rango permitido</t>
  </si>
  <si>
    <t>rule "Validate-Invalid-Term"
salience 80
when
  $r : LoanRequest(
    term not memberOf [2,3,4,5])
then
  $r.setStatus("REJECTED");
  $r.setMaxAmount(0.0);
  $r.setReason("Plazo inválido");
end</t>
  </si>
  <si>
    <t>fee == 0 &amp;&amp; term is valid</t>
  </si>
  <si>
    <t>Fee=0 causa división por 0 en fórmula</t>
  </si>
  <si>
    <t>rule "Validate-Zero-Fee"
salience 80
when
  $r : LoanRequest(fee == 0)
then
  $r.setStatus("REJECTED");
  $r.setMaxAmount(0.0);
  $r.setReason("Fee es 0");
end</t>
  </si>
  <si>
    <t>productType != "LOC"</t>
  </si>
  <si>
    <t>status = "REJECTED"</t>
  </si>
  <si>
    <t>Estas reglas solo aplican a LOC</t>
  </si>
  <si>
    <t>rule "Validate-Product-Type"
salience 80
when
  $r : LoanRequest(
    productType != "LOC")
then
  $r.setStatus("REJECTED");
  $r.setReason("Producto no LOC");
end</t>
  </si>
  <si>
    <t>PASO 4 │ LÓGICA DE CÁLCULO (Computation Rules)</t>
  </si>
  <si>
    <t>Fórmula matemática base (de Hoja1 B9:I13):  C1 = (IMD × term) / (1 + fee)   →   maxAmount = FLOOR(C1 / 50) × 50   →   intereses = maxAmount × fee   →   deuda = maxAmount × (1 + fee)</t>
  </si>
  <si>
    <t>Paso</t>
  </si>
  <si>
    <t>Fórmula</t>
  </si>
  <si>
    <t>Ejemplo (imd=1000, term=2, fee=0.20)</t>
  </si>
  <si>
    <t>Variable Output</t>
  </si>
  <si>
    <t>Calcular C1
(monto bruto pre-redondeo)</t>
  </si>
  <si>
    <t>C1 = (imd × term) / (1 + fee)</t>
  </si>
  <si>
    <t>(1000 × 2) / (1 + 0.20)
= 2000 / 1.20
= 1,666.67</t>
  </si>
  <si>
    <t>rawAmount</t>
  </si>
  <si>
    <t>rule "LOC-Calc-RawAmount"
salience 50
when
  $r : LoanRequest(
    productType == "LOC",
    status != "REJECTED",
    imd &gt; 0, term &gt; 0, fee &gt; 0)
then
  double raw = ($r.getImd() * $r.getTerm())
               / (1 + $r.getFee());
  $r.setRawAmount(raw);
  update($r);
end</t>
  </si>
  <si>
    <t>Redondear hacia abajo
(múltiplo de roundUnit)</t>
  </si>
  <si>
    <t>maxAmount = FLOOR(C1/50) × 50</t>
  </si>
  <si>
    <t>FLOOR(1666.67 / 50) × 50
= FLOOR(33.33) × 50
= 33 × 50 = 1,650</t>
  </si>
  <si>
    <t>rule "LOC-Calc-MaxAmount"
salience 40
when
  $r : LoanRequest(
    productType == "LOC",
    rawAmount &gt; 0)
then
  int unit = $r.getRoundUnit();
  double max = Math.floor(
    $r.getRawAmount() / unit) * unit;
  $r.setMaxAmount(max);
  update($r);
end</t>
  </si>
  <si>
    <t>Calcular intereses</t>
  </si>
  <si>
    <t>intereses = maxAmount × fee</t>
  </si>
  <si>
    <t>1,650 × 0.20
= 330</t>
  </si>
  <si>
    <t>interest</t>
  </si>
  <si>
    <t>rule "LOC-Calc-Interest"
salience 30
when
  $r : LoanRequest(
    productType == "LOC",
    maxAmount &gt; 0)
then
  double interest = $r.getMaxAmount()
                    * $r.getFee();
  $r.setInterest(interest);
  update($r);
end</t>
  </si>
  <si>
    <t>Calcular deuda total</t>
  </si>
  <si>
    <t>deuda = maxAmount × (1 + fee)</t>
  </si>
  <si>
    <t>1,650 × (1 + 0.20)
= 1,650 × 1.20
= 1,980</t>
  </si>
  <si>
    <t>totalDebt</t>
  </si>
  <si>
    <t>rule "LOC-Calc-TotalDebt"
salience 20
when
  $r : LoanRequest(
    productType == "LOC",
    maxAmount &gt; 0, interest &gt;= 0)
then
  double debt = $r.getMaxAmount()
                * (1 + $r.getFee());
  $r.setTotalDebt(debt);
  $r.setStatus("APPROVED");
  update($r);
end</t>
  </si>
  <si>
    <t>PASO 5 │ OUTPUTS DEL MODELO (Data Object: LoanResult)</t>
  </si>
  <si>
    <t>loanRequest.rawAmount</t>
  </si>
  <si>
    <t>Monto bruto antes de redondeo</t>
  </si>
  <si>
    <t>loanRequest.maxAmount</t>
  </si>
  <si>
    <t>Monto máximo aprobado (redondeado)</t>
  </si>
  <si>
    <t>loanRequest.interest</t>
  </si>
  <si>
    <t>Monto total de intereses</t>
  </si>
  <si>
    <t>loanRequest.totalDebt</t>
  </si>
  <si>
    <t>Deuda total (capital + intereses)</t>
  </si>
  <si>
    <t>status</t>
  </si>
  <si>
    <t>loanRequest.status</t>
  </si>
  <si>
    <t>Estado: APPROVED / REJECTED</t>
  </si>
  <si>
    <t>APPROVED</t>
  </si>
  <si>
    <t>reason</t>
  </si>
  <si>
    <t>loanRequest.reason</t>
  </si>
  <si>
    <t>Razón de rechazo (si aplica)</t>
  </si>
  <si>
    <t>"" (vacío si aprobado)</t>
  </si>
  <si>
    <t>PASO 6 │ TABLA DE REFERENCIA FEE POR PLAZO (Decision Table / Guided Rule)</t>
  </si>
  <si>
    <t>Si el fee depende del plazo (como en Hoja1), esta tabla se puede modelar como Decision Table en KIE Workbench:</t>
  </si>
  <si>
    <t>Plazo (meses)</t>
  </si>
  <si>
    <t>Deuda Total</t>
  </si>
  <si>
    <t>PASO 7 │ DATA OBJECT JAVA (para KIE Sandbox / Kogito)</t>
  </si>
  <si>
    <t>PASO 8 │ FLUJO COMPLETO — Orden de Ejecución (Salience / Agenda)</t>
  </si>
  <si>
    <t>Orden</t>
  </si>
  <si>
    <t>Salience</t>
  </si>
  <si>
    <t>Fase</t>
  </si>
  <si>
    <t>Reglas que aplican</t>
  </si>
  <si>
    <t>Estado esperado</t>
  </si>
  <si>
    <t>1º</t>
  </si>
  <si>
    <t>🧹 LIMPIEZA</t>
  </si>
  <si>
    <t>Clean-Null-IMD
Clean-Null-Fee
Clean-Null-Term</t>
  </si>
  <si>
    <t>Nulos → 0</t>
  </si>
  <si>
    <t>Datos sin nulos</t>
  </si>
  <si>
    <t>2º</t>
  </si>
  <si>
    <t>Clean-Neg-IMD
Clean-Neg-Fee
Clean-Neg-Term</t>
  </si>
  <si>
    <t>Negativos → 0</t>
  </si>
  <si>
    <t>Datos ≥ 0</t>
  </si>
  <si>
    <t>3º</t>
  </si>
  <si>
    <t>✅ VALIDACIÓN</t>
  </si>
  <si>
    <t>Validate-Zero-IMD
Validate-Invalid-Term
Validate-Zero-Fee
Validate-Product-Type</t>
  </si>
  <si>
    <t>Si inválido → REJECTED</t>
  </si>
  <si>
    <t>APPROVED o REJECTED</t>
  </si>
  <si>
    <t>4º</t>
  </si>
  <si>
    <t>50→20</t>
  </si>
  <si>
    <t>📊 CÁLCULO</t>
  </si>
  <si>
    <t>Ejecuta fórmulas solo si
status ≠ REJECTED</t>
  </si>
  <si>
    <t>5º</t>
  </si>
  <si>
    <t>📤 OUTPUT</t>
  </si>
  <si>
    <t>(respuesta final)</t>
  </si>
  <si>
    <t>Retornar objeto con
todos los campos</t>
  </si>
  <si>
    <t>JSON / REST response
con todos los campos</t>
  </si>
  <si>
    <t>📝 NOTAS PARA IMPLEMENTACIÓN EN KIE SANDBOX</t>
  </si>
  <si>
    <t>1. Crear Data Object "LoanRequest" con todos los campos listados en Paso 1 y Paso 5 (inputs + outputs en un solo objeto)</t>
  </si>
  <si>
    <t>2. Crear archivo .drl con TODAS las reglas (Pasos 2, 3, 4) — el salience controla el orden de ejecución automáticamente</t>
  </si>
  <si>
    <t>5. Todas las reglas de cálculo (Paso 4) verifican status ≠ "REJECTED" para no ejecutarse si la validación falló</t>
  </si>
  <si>
    <t>maxCap</t>
  </si>
  <si>
    <t>loanRequest.maxCap</t>
  </si>
  <si>
    <t>Techo máximo del monto aprobado</t>
  </si>
  <si>
    <t>Aplicar techo (cap)
MIN(maxAmount, maxCap)</t>
  </si>
  <si>
    <t>maxAmount = MIN(maxAmount, maxCap)</t>
  </si>
  <si>
    <t>MIN(1650, 3500) = 1,650  ← no cambia
MIN(3800, 3500) = 3,500  ← capeado
MIN(4750, 3500) = 3,500  ← capeado</t>
  </si>
  <si>
    <t>maxAmount
(capeado)</t>
  </si>
  <si>
    <t>rule "LOC-Calc-ApplyCap"
salience 35
when
  $r : LoanRequest(
    productType == "LOC",
    maxAmount &gt; 0,
    maxAmount &gt; maxCap)
then
  $r.setMaxAmount($r.getMaxCap());
  update($r);
end</t>
  </si>
  <si>
    <t>maxAmount (pre-cap)</t>
  </si>
  <si>
    <t>maxAmount (post-cap = 3,500)</t>
  </si>
  <si>
    <t>3,500 ⚠️</t>
  </si>
  <si>
    <t>public class LoanRequest implements java.io.Serializable {
    // ─── INPUTS ───
    private String productType;    // "LOC"
    private Double imd;            // Ingreso Mensual Disponible
    private Integer term;          // Plazo en meses (2,3,4,5)
    private Double fee;            // Tasa de fee (decimal) ← se pasa como input
    private Integer roundUnit;     // Unidad de redondeo (50)
    private Double maxCap;         // Techo máximo del monto (3500)
    // ─── OUTPUTS (calculados por reglas) ───
    private Double rawAmount;      // (imd × term) / (1 + fee)
    private Double maxAmount;      // MIN(FLOOR(raw/roundUnit)*roundUnit, maxCap)
    private Double interest;       // maxAmount × fee
    private Double totalDebt;      // maxAmount × (1 + fee)
    private String status;         // APPROVED / REJECTED
    private String reason;         // Motivo rechazo
    // Constructor, getters, setters...
    public LoanRequest() {}
    // Getters y Setters para cada campo
    // (generados automáticamente en KIE Workbench)
}</t>
  </si>
  <si>
    <t>LOC-Calc-RawAmount
LOC-Calc-MaxAmount
LOC-Calc-ApplyCap  ← NUEVO
LOC-Calc-Interest
LOC-Calc-TotalDebt</t>
  </si>
  <si>
    <t>salience 35 aplica cap
MIN(maxAmount, 3500)</t>
  </si>
  <si>
    <t>maxAmount, interest,
totalDebt calculados
(con cap aplicado)</t>
  </si>
  <si>
    <t>3. El fee se pasa como INPUT directo (no se hace lookup automático por plazo dentro del Kogito) — CONFIRMADO</t>
  </si>
  <si>
    <t>4. El maxCap (=3,500) y roundUnit (=50) se pasan como inputs para flexibilidad — pueden cambiarse sin tocar reglas</t>
  </si>
  <si>
    <t>6. Para testing: usar los valores de la tabla en Paso 6 como casos de prueba (IMD=1000 con cada plazo) — notar que plazos 4 y 5 se capean a 3,500</t>
  </si>
  <si>
    <t>7. Endpoint REST esperado: POST /api/loc-calculation con body JSON { productType, imd, term, fee, roundUnit, maxCap }</t>
  </si>
  <si>
    <t>8. ✅ DEFINIDO: Techo = 3,500 (maxCap como input). Fee = input directo (no lookup). Regla LOC-Calc-ApplyCap con salience 35.</t>
  </si>
  <si>
    <t>Fórmula base:  C1 = (IMD × term) / (1 + fee)   →   maxAmount = MIN( FLOOR(C1/50)×50 , 3500 )   →   intereses = maxAmount × fee   →   deuda = maxAmount × (1+fee)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</si>
</sst>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scheme val="minor"/>
    </font>
    <font>
      <b/>
      <sz val="13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Consolas"/>
      <family val="2"/>
    </font>
    <font>
      <sz val="10"/>
      <color theme="1"/>
      <name val="Consolas"/>
      <family val="2"/>
    </font>
    <font>
      <b/>
      <sz val="13"/>
      <color rgb="FFFFFFFF"/>
      <name val="Aptos Narrow"/>
    </font>
    <font>
      <b/>
      <sz val="11"/>
      <color rgb="FF0000FF"/>
      <name val="Aptos Narrow"/>
    </font>
    <font>
      <sz val="11"/>
      <color theme="1"/>
      <name val="Consolas"/>
      <family val="2"/>
    </font>
    <font>
      <sz val="11"/>
      <color theme="1"/>
      <name val="Aptos Narrow"/>
    </font>
    <font>
      <b/>
      <sz val="11"/>
      <color theme="1"/>
      <name val="Aptos Narrow"/>
    </font>
    <font>
      <sz val="10"/>
      <color rgb="FF548235"/>
      <name val="Consolas"/>
      <family val="2"/>
    </font>
    <font>
      <sz val="9"/>
      <color rgb="FF333333"/>
      <name val="Consolas"/>
      <family val="2"/>
    </font>
    <font>
      <sz val="10"/>
      <color rgb="FFC00000"/>
      <name val="Consolas"/>
      <family val="2"/>
    </font>
    <font>
      <sz val="11"/>
      <color rgb="FFC00000"/>
      <name val="Aptos Narrow"/>
      <scheme val="minor"/>
    </font>
    <font>
      <i/>
      <sz val="11"/>
      <color rgb="FFC00000"/>
      <name val="Aptos Narrow"/>
      <scheme val="minor"/>
    </font>
    <font>
      <sz val="10"/>
      <color rgb="FF0000FF"/>
      <name val="Consolas"/>
      <family val="2"/>
    </font>
    <font>
      <sz val="10"/>
      <color rgb="FF7030A0"/>
      <name val="Consolas"/>
      <family val="2"/>
    </font>
    <font>
      <b/>
      <sz val="11"/>
      <color rgb="FF008000"/>
      <name val="Aptos Narrow"/>
      <scheme val="minor"/>
    </font>
    <font>
      <i/>
      <sz val="11"/>
      <color rgb="FF375623"/>
      <name val="Aptos Narrow"/>
      <scheme val="minor"/>
    </font>
    <font>
      <sz val="11"/>
      <color rgb="FF0000FF"/>
      <name val="Aptos Narrow"/>
      <scheme val="minor"/>
    </font>
    <font>
      <sz val="10"/>
      <color rgb="FF333333"/>
      <name val="Consolas"/>
      <family val="2"/>
    </font>
    <font>
      <b/>
      <sz val="12"/>
      <color rgb="FFFFFFFF"/>
      <name val="Aptos Narrow"/>
      <scheme val="minor"/>
    </font>
    <font>
      <sz val="9"/>
      <color theme="1"/>
      <name val="Consolas"/>
      <family val="2"/>
    </font>
    <font>
      <sz val="11"/>
      <color rgb="FF548235"/>
      <name val="Aptos Narrow"/>
      <scheme val="minor"/>
    </font>
    <font>
      <sz val="11"/>
      <color rgb="FFBF8F00"/>
      <name val="Aptos Narrow"/>
      <scheme val="minor"/>
    </font>
    <font>
      <sz val="11"/>
      <color rgb="FF7030A0"/>
      <name val="Aptos Narrow"/>
      <scheme val="minor"/>
    </font>
    <font>
      <b/>
      <sz val="11"/>
      <color rgb="FFC00000"/>
      <name val="Aptos Narrow"/>
      <scheme val="minor"/>
    </font>
    <font>
      <b/>
      <sz val="9"/>
      <color theme="1"/>
      <name val="Consolas"/>
      <family val="2"/>
    </font>
  </fonts>
  <fills count="26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7ED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DEDE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0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2" fillId="0" borderId="0" xfId="0" applyFont="1"/>
    <xf numFmtId="165" fontId="0" fillId="0" borderId="0" xfId="1" applyNumberFormat="1" applyFont="1"/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5" borderId="0" xfId="0" applyFont="1" applyFill="1"/>
    <xf numFmtId="0" fontId="0" fillId="5" borderId="0" xfId="0" applyFill="1"/>
    <xf numFmtId="0" fontId="10" fillId="6" borderId="0" xfId="0" applyFont="1" applyFill="1" applyAlignment="1">
      <alignment horizontal="center"/>
    </xf>
    <xf numFmtId="0" fontId="13" fillId="6" borderId="0" xfId="0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8" fillId="7" borderId="0" xfId="0" applyFont="1" applyFill="1"/>
    <xf numFmtId="0" fontId="14" fillId="0" borderId="0" xfId="0" applyFont="1"/>
    <xf numFmtId="0" fontId="14" fillId="7" borderId="0" xfId="0" applyFont="1" applyFill="1"/>
    <xf numFmtId="0" fontId="15" fillId="0" borderId="0" xfId="0" applyFont="1" applyAlignment="1">
      <alignment wrapText="1"/>
    </xf>
    <xf numFmtId="0" fontId="15" fillId="7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4" fillId="8" borderId="0" xfId="0" applyFont="1" applyFill="1"/>
    <xf numFmtId="0" fontId="0" fillId="8" borderId="0" xfId="0" applyFill="1"/>
    <xf numFmtId="0" fontId="6" fillId="9" borderId="0" xfId="0" applyFont="1" applyFill="1"/>
    <xf numFmtId="0" fontId="6" fillId="9" borderId="0" xfId="0" applyFont="1" applyFill="1" applyAlignment="1">
      <alignment horizontal="center"/>
    </xf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8" fillId="10" borderId="0" xfId="0" applyFont="1" applyFill="1"/>
    <xf numFmtId="0" fontId="16" fillId="0" borderId="0" xfId="0" applyFont="1" applyAlignment="1">
      <alignment wrapText="1"/>
    </xf>
    <xf numFmtId="0" fontId="16" fillId="10" borderId="0" xfId="0" applyFont="1" applyFill="1" applyAlignment="1">
      <alignment wrapText="1"/>
    </xf>
    <xf numFmtId="0" fontId="15" fillId="10" borderId="0" xfId="0" applyFont="1" applyFill="1" applyAlignment="1">
      <alignment wrapText="1"/>
    </xf>
    <xf numFmtId="0" fontId="16" fillId="0" borderId="0" xfId="0" applyFont="1"/>
    <xf numFmtId="0" fontId="4" fillId="11" borderId="0" xfId="0" applyFont="1" applyFill="1"/>
    <xf numFmtId="0" fontId="0" fillId="11" borderId="0" xfId="0" applyFill="1"/>
    <xf numFmtId="0" fontId="18" fillId="12" borderId="0" xfId="0" applyFont="1" applyFill="1"/>
    <xf numFmtId="0" fontId="0" fillId="12" borderId="0" xfId="0" applyFill="1"/>
    <xf numFmtId="0" fontId="6" fillId="13" borderId="0" xfId="0" applyFont="1" applyFill="1"/>
    <xf numFmtId="0" fontId="6" fillId="13" borderId="0" xfId="0" applyFont="1" applyFill="1" applyAlignment="1">
      <alignment horizontal="center"/>
    </xf>
    <xf numFmtId="0" fontId="5" fillId="14" borderId="0" xfId="0" applyFont="1" applyFill="1"/>
    <xf numFmtId="0" fontId="5" fillId="14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5" fillId="14" borderId="0" xfId="0" applyFont="1" applyFill="1" applyAlignment="1">
      <alignment wrapText="1"/>
    </xf>
    <xf numFmtId="0" fontId="16" fillId="14" borderId="0" xfId="0" applyFont="1" applyFill="1"/>
    <xf numFmtId="0" fontId="8" fillId="0" borderId="0" xfId="0" applyFont="1" applyAlignment="1">
      <alignment wrapText="1"/>
    </xf>
    <xf numFmtId="0" fontId="8" fillId="14" borderId="0" xfId="0" applyFont="1" applyFill="1" applyAlignment="1">
      <alignment wrapText="1"/>
    </xf>
    <xf numFmtId="0" fontId="19" fillId="0" borderId="0" xfId="0" applyFont="1"/>
    <xf numFmtId="0" fontId="19" fillId="14" borderId="0" xfId="0" applyFont="1" applyFill="1"/>
    <xf numFmtId="0" fontId="15" fillId="14" borderId="0" xfId="0" applyFont="1" applyFill="1" applyAlignment="1">
      <alignment wrapText="1"/>
    </xf>
    <xf numFmtId="0" fontId="4" fillId="15" borderId="0" xfId="0" applyFont="1" applyFill="1"/>
    <xf numFmtId="0" fontId="0" fillId="15" borderId="0" xfId="0" applyFill="1"/>
    <xf numFmtId="0" fontId="6" fillId="16" borderId="0" xfId="0" applyFont="1" applyFill="1"/>
    <xf numFmtId="0" fontId="20" fillId="0" borderId="0" xfId="0" applyFont="1"/>
    <xf numFmtId="4" fontId="5" fillId="0" borderId="0" xfId="0" applyNumberFormat="1" applyFont="1"/>
    <xf numFmtId="0" fontId="20" fillId="17" borderId="0" xfId="0" applyFont="1" applyFill="1"/>
    <xf numFmtId="0" fontId="8" fillId="17" borderId="0" xfId="0" applyFont="1" applyFill="1"/>
    <xf numFmtId="0" fontId="5" fillId="17" borderId="0" xfId="0" applyFont="1" applyFill="1"/>
    <xf numFmtId="3" fontId="6" fillId="17" borderId="0" xfId="0" applyNumberFormat="1" applyFont="1" applyFill="1"/>
    <xf numFmtId="3" fontId="5" fillId="17" borderId="0" xfId="0" applyNumberFormat="1" applyFont="1" applyFill="1"/>
    <xf numFmtId="0" fontId="21" fillId="0" borderId="0" xfId="0" applyFont="1"/>
    <xf numFmtId="0" fontId="4" fillId="18" borderId="0" xfId="0" applyFont="1" applyFill="1"/>
    <xf numFmtId="0" fontId="0" fillId="18" borderId="0" xfId="0" applyFill="1"/>
    <xf numFmtId="0" fontId="22" fillId="0" borderId="0" xfId="0" applyFont="1"/>
    <xf numFmtId="0" fontId="6" fillId="19" borderId="0" xfId="0" applyFont="1" applyFill="1" applyAlignment="1">
      <alignment horizontal="center"/>
    </xf>
    <xf numFmtId="9" fontId="23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9" fontId="23" fillId="6" borderId="0" xfId="0" applyNumberFormat="1" applyFont="1" applyFill="1" applyAlignment="1">
      <alignment horizontal="center"/>
    </xf>
    <xf numFmtId="3" fontId="6" fillId="6" borderId="0" xfId="0" applyNumberFormat="1" applyFont="1" applyFill="1" applyAlignment="1">
      <alignment horizontal="center"/>
    </xf>
    <xf numFmtId="4" fontId="5" fillId="6" borderId="0" xfId="0" applyNumberFormat="1" applyFont="1" applyFill="1" applyAlignment="1">
      <alignment horizontal="center"/>
    </xf>
    <xf numFmtId="0" fontId="4" fillId="20" borderId="0" xfId="0" applyFont="1" applyFill="1"/>
    <xf numFmtId="0" fontId="0" fillId="20" borderId="0" xfId="0" applyFill="1"/>
    <xf numFmtId="0" fontId="24" fillId="21" borderId="0" xfId="0" applyFont="1" applyFill="1" applyAlignment="1">
      <alignment wrapText="1"/>
    </xf>
    <xf numFmtId="0" fontId="4" fillId="22" borderId="0" xfId="0" applyFont="1" applyFill="1"/>
    <xf numFmtId="0" fontId="0" fillId="22" borderId="0" xfId="0" applyFill="1"/>
    <xf numFmtId="0" fontId="6" fillId="23" borderId="0" xfId="0" applyFont="1" applyFill="1"/>
    <xf numFmtId="0" fontId="6" fillId="23" borderId="0" xfId="0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26" fillId="0" borderId="0" xfId="0" applyFont="1" applyAlignment="1">
      <alignment wrapText="1"/>
    </xf>
    <xf numFmtId="0" fontId="26" fillId="6" borderId="0" xfId="0" applyFont="1" applyFill="1" applyAlignment="1">
      <alignment wrapText="1"/>
    </xf>
    <xf numFmtId="0" fontId="27" fillId="0" borderId="0" xfId="0" applyFont="1"/>
    <xf numFmtId="0" fontId="27" fillId="6" borderId="0" xfId="0" applyFont="1" applyFill="1"/>
    <xf numFmtId="0" fontId="11" fillId="0" borderId="0" xfId="0" applyFont="1" applyAlignment="1">
      <alignment horizontal="center"/>
    </xf>
    <xf numFmtId="0" fontId="25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26" fillId="9" borderId="0" xfId="0" applyFont="1" applyFill="1" applyAlignment="1">
      <alignment wrapText="1"/>
    </xf>
    <xf numFmtId="0" fontId="5" fillId="9" borderId="0" xfId="0" applyFont="1" applyFill="1"/>
    <xf numFmtId="0" fontId="28" fillId="9" borderId="0" xfId="0" applyFont="1" applyFill="1"/>
    <xf numFmtId="0" fontId="25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6" fillId="12" borderId="0" xfId="0" applyFont="1" applyFill="1"/>
    <xf numFmtId="0" fontId="5" fillId="12" borderId="0" xfId="0" applyFont="1" applyFill="1" applyAlignment="1">
      <alignment wrapText="1"/>
    </xf>
    <xf numFmtId="0" fontId="17" fillId="12" borderId="0" xfId="0" applyFont="1" applyFill="1" applyAlignment="1">
      <alignment wrapText="1"/>
    </xf>
    <xf numFmtId="0" fontId="25" fillId="15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6" fillId="16" borderId="0" xfId="0" applyFont="1" applyFill="1"/>
    <xf numFmtId="0" fontId="5" fillId="16" borderId="0" xfId="0" applyFont="1" applyFill="1" applyAlignment="1">
      <alignment wrapText="1"/>
    </xf>
    <xf numFmtId="0" fontId="29" fillId="16" borderId="0" xfId="0" applyFont="1" applyFill="1" applyAlignment="1">
      <alignment wrapText="1"/>
    </xf>
    <xf numFmtId="0" fontId="4" fillId="24" borderId="0" xfId="0" applyFont="1" applyFill="1"/>
    <xf numFmtId="0" fontId="0" fillId="24" borderId="0" xfId="0" applyFill="1"/>
    <xf numFmtId="0" fontId="7" fillId="25" borderId="0" xfId="0" applyFont="1" applyFill="1"/>
    <xf numFmtId="0" fontId="8" fillId="25" borderId="0" xfId="0" applyFont="1" applyFill="1"/>
    <xf numFmtId="0" fontId="5" fillId="25" borderId="0" xfId="0" applyFont="1" applyFill="1"/>
    <xf numFmtId="0" fontId="6" fillId="25" borderId="0" xfId="0" applyFont="1" applyFill="1"/>
    <xf numFmtId="0" fontId="19" fillId="14" borderId="0" xfId="0" applyFont="1" applyFill="1" applyAlignment="1">
      <alignment wrapText="1"/>
    </xf>
    <xf numFmtId="3" fontId="30" fillId="0" borderId="0" xfId="0" applyNumberFormat="1" applyFont="1" applyAlignment="1">
      <alignment horizontal="center"/>
    </xf>
    <xf numFmtId="3" fontId="30" fillId="6" borderId="0" xfId="0" applyNumberFormat="1" applyFont="1" applyFill="1" applyAlignment="1">
      <alignment horizontal="center"/>
    </xf>
    <xf numFmtId="0" fontId="31" fillId="12" borderId="0" xfId="0" applyFont="1" applyFill="1" applyAlignment="1">
      <alignment wrapText="1"/>
    </xf>
    <xf numFmtId="0" fontId="12" fillId="12" borderId="0" xfId="0" applyFont="1" applyFill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895B49-2655-3E4A-8653-EFE8240283C6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D953-F871-432D-BEA0-CDE3DC2073B5}">
  <dimension ref="B2:O28"/>
  <sheetViews>
    <sheetView zoomScale="125" workbookViewId="0">
      <selection activeCell="B24" sqref="B24"/>
    </sheetView>
  </sheetViews>
  <sheetFormatPr baseColWidth="10" defaultRowHeight="15" x14ac:dyDescent="0.2"/>
  <cols>
    <col min="2" max="2" width="19" bestFit="1" customWidth="1"/>
    <col min="5" max="5" width="12" bestFit="1" customWidth="1"/>
    <col min="7" max="7" width="12" bestFit="1" customWidth="1"/>
  </cols>
  <sheetData>
    <row r="2" spans="2:15" x14ac:dyDescent="0.2">
      <c r="B2" s="5" t="s">
        <v>0</v>
      </c>
      <c r="C2" s="5">
        <v>1000</v>
      </c>
    </row>
    <row r="3" spans="2:15" x14ac:dyDescent="0.2">
      <c r="J3" t="s">
        <v>17</v>
      </c>
      <c r="K3">
        <v>5000</v>
      </c>
    </row>
    <row r="4" spans="2:15" x14ac:dyDescent="0.2">
      <c r="B4" s="5" t="s">
        <v>1</v>
      </c>
      <c r="C4" s="5" t="s">
        <v>11</v>
      </c>
      <c r="D4" s="5" t="s">
        <v>10</v>
      </c>
      <c r="E4" t="s">
        <v>5</v>
      </c>
      <c r="F4" t="s">
        <v>6</v>
      </c>
      <c r="G4" t="s">
        <v>7</v>
      </c>
      <c r="H4" s="5" t="s">
        <v>12</v>
      </c>
      <c r="J4" t="s">
        <v>16</v>
      </c>
      <c r="K4" s="1">
        <v>0.05</v>
      </c>
      <c r="L4">
        <f>K4*K3</f>
        <v>250</v>
      </c>
    </row>
    <row r="5" spans="2:15" x14ac:dyDescent="0.2">
      <c r="C5" t="s">
        <v>2</v>
      </c>
      <c r="D5" s="1">
        <v>0.05</v>
      </c>
      <c r="E5">
        <f>C2/4</f>
        <v>250</v>
      </c>
      <c r="F5" s="2">
        <f>E5/(1+D5)</f>
        <v>238.09523809523807</v>
      </c>
      <c r="G5" s="2">
        <f>ROUNDDOWN(F5/50,0)*50</f>
        <v>200</v>
      </c>
      <c r="H5" s="3">
        <f>MIN(G5,2100)</f>
        <v>200</v>
      </c>
      <c r="I5" s="4"/>
      <c r="J5" t="s">
        <v>8</v>
      </c>
      <c r="K5">
        <v>2</v>
      </c>
    </row>
    <row r="6" spans="2:15" x14ac:dyDescent="0.2">
      <c r="C6" t="s">
        <v>3</v>
      </c>
      <c r="D6" s="1">
        <v>0.05</v>
      </c>
      <c r="E6">
        <f>C2/2</f>
        <v>500</v>
      </c>
      <c r="F6" s="2">
        <f t="shared" ref="F6:F7" si="0">E6/(1+D6)</f>
        <v>476.19047619047615</v>
      </c>
      <c r="G6" s="2">
        <f t="shared" ref="G6:G7" si="1">ROUNDDOWN(F6/50,0)*50</f>
        <v>450</v>
      </c>
      <c r="H6" s="3">
        <f>MIN(G6,2100)</f>
        <v>450</v>
      </c>
      <c r="I6" s="4"/>
    </row>
    <row r="7" spans="2:15" x14ac:dyDescent="0.2">
      <c r="C7" t="s">
        <v>4</v>
      </c>
      <c r="D7" s="1">
        <v>0.05</v>
      </c>
      <c r="E7">
        <f>C2</f>
        <v>1000</v>
      </c>
      <c r="F7" s="2">
        <f t="shared" si="0"/>
        <v>952.38095238095229</v>
      </c>
      <c r="G7" s="2">
        <f t="shared" si="1"/>
        <v>950</v>
      </c>
      <c r="H7" s="3">
        <f>MIN(G7,2100)</f>
        <v>950</v>
      </c>
      <c r="I7" s="4"/>
    </row>
    <row r="9" spans="2:15" x14ac:dyDescent="0.2">
      <c r="B9" t="s">
        <v>18</v>
      </c>
      <c r="C9" t="s">
        <v>9</v>
      </c>
      <c r="D9" t="s">
        <v>10</v>
      </c>
      <c r="E9" t="s">
        <v>5</v>
      </c>
      <c r="F9" t="s">
        <v>6</v>
      </c>
      <c r="G9" s="5" t="s">
        <v>12</v>
      </c>
      <c r="H9" t="s">
        <v>15</v>
      </c>
      <c r="I9" t="s">
        <v>13</v>
      </c>
      <c r="J9" t="s">
        <v>16</v>
      </c>
      <c r="K9" s="1">
        <v>0.01</v>
      </c>
      <c r="L9" s="1">
        <v>0.05</v>
      </c>
      <c r="M9" s="1">
        <v>0.1</v>
      </c>
      <c r="O9" t="s">
        <v>14</v>
      </c>
    </row>
    <row r="10" spans="2:15" x14ac:dyDescent="0.2">
      <c r="C10">
        <v>2</v>
      </c>
      <c r="D10" s="1">
        <v>0.2</v>
      </c>
      <c r="F10" s="2">
        <f>($C$2*C10)/(1+D10)</f>
        <v>1666.6666666666667</v>
      </c>
      <c r="G10" s="2">
        <f>ROUNDDOWN(F10/50,0)*50</f>
        <v>1650</v>
      </c>
      <c r="H10" s="3">
        <f>G10*D10</f>
        <v>330</v>
      </c>
      <c r="I10" s="3">
        <f>G10*(1+D10)</f>
        <v>1980</v>
      </c>
      <c r="J10">
        <v>2</v>
      </c>
      <c r="N10" s="2"/>
    </row>
    <row r="11" spans="2:15" x14ac:dyDescent="0.2">
      <c r="C11">
        <v>3</v>
      </c>
      <c r="D11" s="1">
        <v>0.05</v>
      </c>
      <c r="F11" s="2">
        <f>($C$2*C11)/(1+D11)</f>
        <v>2857.1428571428569</v>
      </c>
      <c r="G11" s="2">
        <f t="shared" ref="G11:G13" si="2">ROUNDDOWN(F11/50,0)*50</f>
        <v>2850</v>
      </c>
      <c r="H11" s="3">
        <f>G11*D11</f>
        <v>142.5</v>
      </c>
      <c r="I11" s="3">
        <f>G11*(1+D11)</f>
        <v>2992.5</v>
      </c>
      <c r="J11">
        <v>3</v>
      </c>
    </row>
    <row r="12" spans="2:15" x14ac:dyDescent="0.2">
      <c r="C12">
        <v>4</v>
      </c>
      <c r="D12" s="1">
        <v>0.05</v>
      </c>
      <c r="F12" s="2">
        <f>($C$2*C12)/(1+D12)</f>
        <v>3809.5238095238092</v>
      </c>
      <c r="G12" s="2">
        <f t="shared" si="2"/>
        <v>3800</v>
      </c>
      <c r="H12" s="3">
        <f>G12*D12</f>
        <v>190</v>
      </c>
      <c r="I12" s="3">
        <f>G12*(1+D12)</f>
        <v>3990</v>
      </c>
      <c r="J12">
        <v>4</v>
      </c>
    </row>
    <row r="13" spans="2:15" x14ac:dyDescent="0.2">
      <c r="C13">
        <v>5</v>
      </c>
      <c r="D13" s="1">
        <v>0.05</v>
      </c>
      <c r="F13" s="2">
        <f>($C$2*C13)/(1+D13)</f>
        <v>4761.9047619047615</v>
      </c>
      <c r="G13" s="2">
        <f t="shared" si="2"/>
        <v>4750</v>
      </c>
      <c r="H13" s="3">
        <f>G13*D13</f>
        <v>237.5</v>
      </c>
      <c r="I13" s="3">
        <f>G13*(1+D13)</f>
        <v>4987.5</v>
      </c>
    </row>
    <row r="15" spans="2:15" x14ac:dyDescent="0.2">
      <c r="B15" t="s">
        <v>19</v>
      </c>
      <c r="C15" t="s">
        <v>9</v>
      </c>
      <c r="D15" t="s">
        <v>10</v>
      </c>
      <c r="E15" t="s">
        <v>5</v>
      </c>
      <c r="F15" t="s">
        <v>6</v>
      </c>
      <c r="G15" t="s">
        <v>7</v>
      </c>
      <c r="H15" t="s">
        <v>20</v>
      </c>
    </row>
    <row r="16" spans="2:15" x14ac:dyDescent="0.2">
      <c r="C16">
        <v>2</v>
      </c>
      <c r="D16" s="1">
        <v>0.2</v>
      </c>
      <c r="E16">
        <f>C2/1</f>
        <v>1000</v>
      </c>
      <c r="F16" s="6">
        <f>E16/((1/C16)+D16)</f>
        <v>1428.5714285714287</v>
      </c>
      <c r="G16" s="2">
        <f>ROUNDDOWN(F16/50,0)*50</f>
        <v>1400</v>
      </c>
      <c r="H16" s="2"/>
    </row>
    <row r="20" spans="2:7" x14ac:dyDescent="0.2">
      <c r="C20" t="s">
        <v>21</v>
      </c>
      <c r="G20" t="s">
        <v>26</v>
      </c>
    </row>
    <row r="21" spans="2:7" x14ac:dyDescent="0.2">
      <c r="B21" t="s">
        <v>22</v>
      </c>
      <c r="C21">
        <v>5000</v>
      </c>
    </row>
    <row r="22" spans="2:7" x14ac:dyDescent="0.2">
      <c r="B22" t="s">
        <v>23</v>
      </c>
      <c r="C22">
        <v>1</v>
      </c>
    </row>
    <row r="23" spans="2:7" x14ac:dyDescent="0.2">
      <c r="B23" t="s">
        <v>24</v>
      </c>
      <c r="C23" s="1">
        <v>0.2</v>
      </c>
    </row>
    <row r="24" spans="2:7" x14ac:dyDescent="0.2">
      <c r="B24" t="s">
        <v>25</v>
      </c>
      <c r="C24">
        <v>1</v>
      </c>
    </row>
    <row r="25" spans="2:7" x14ac:dyDescent="0.2">
      <c r="B25" t="s">
        <v>28</v>
      </c>
    </row>
    <row r="26" spans="2:7" x14ac:dyDescent="0.2">
      <c r="B26" t="s">
        <v>29</v>
      </c>
    </row>
    <row r="27" spans="2:7" x14ac:dyDescent="0.2">
      <c r="B27" t="s">
        <v>30</v>
      </c>
    </row>
    <row r="28" spans="2:7" x14ac:dyDescent="0.2">
      <c r="B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F593-555B-8142-A7DD-3E09390703ED}">
  <dimension ref="A1:K75"/>
  <sheetViews>
    <sheetView tabSelected="1" workbookViewId="0">
      <selection sqref="A1:K75"/>
    </sheetView>
  </sheetViews>
  <sheetFormatPr baseColWidth="10" defaultRowHeight="15" x14ac:dyDescent="0.2"/>
  <cols>
    <col min="1" max="1" width="9.1640625" customWidth="1"/>
    <col min="2" max="4" width="29.1640625" customWidth="1"/>
    <col min="5" max="5" width="36.6640625" customWidth="1"/>
    <col min="6" max="6" width="20" customWidth="1"/>
    <col min="7" max="7" width="46.6640625" customWidth="1"/>
  </cols>
  <sheetData>
    <row r="1" spans="1:11" ht="30" customHeight="1" x14ac:dyDescent="0.3">
      <c r="A1" s="7" t="s">
        <v>31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1" ht="18" x14ac:dyDescent="0.25">
      <c r="A3" s="9" t="s">
        <v>32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3" t="s">
        <v>33</v>
      </c>
      <c r="B4" s="13" t="s">
        <v>34</v>
      </c>
      <c r="C4" s="13" t="s">
        <v>35</v>
      </c>
      <c r="D4" s="13"/>
      <c r="E4" s="13" t="s">
        <v>36</v>
      </c>
      <c r="F4" s="13" t="s">
        <v>37</v>
      </c>
      <c r="G4" s="13" t="s">
        <v>38</v>
      </c>
    </row>
    <row r="5" spans="1:11" x14ac:dyDescent="0.2">
      <c r="A5" s="14" t="s">
        <v>22</v>
      </c>
      <c r="B5" s="15" t="s">
        <v>39</v>
      </c>
      <c r="C5" s="11" t="s">
        <v>40</v>
      </c>
      <c r="D5" s="11"/>
      <c r="E5" s="11" t="s">
        <v>41</v>
      </c>
      <c r="F5" s="11">
        <v>1000</v>
      </c>
      <c r="G5" s="11" t="s">
        <v>42</v>
      </c>
    </row>
    <row r="6" spans="1:11" x14ac:dyDescent="0.2">
      <c r="A6" s="14" t="s">
        <v>25</v>
      </c>
      <c r="B6" s="15" t="s">
        <v>43</v>
      </c>
      <c r="C6" s="11" t="s">
        <v>44</v>
      </c>
      <c r="D6" s="11"/>
      <c r="E6" s="11" t="s">
        <v>45</v>
      </c>
      <c r="F6" s="11" t="s">
        <v>46</v>
      </c>
      <c r="G6" s="11" t="s">
        <v>47</v>
      </c>
    </row>
    <row r="7" spans="1:11" x14ac:dyDescent="0.2">
      <c r="A7" s="14" t="s">
        <v>24</v>
      </c>
      <c r="B7" s="15" t="s">
        <v>48</v>
      </c>
      <c r="C7" s="11" t="s">
        <v>40</v>
      </c>
      <c r="D7" s="11"/>
      <c r="E7" s="11" t="s">
        <v>49</v>
      </c>
      <c r="F7" s="11" t="s">
        <v>50</v>
      </c>
      <c r="G7" s="11" t="s">
        <v>42</v>
      </c>
    </row>
    <row r="8" spans="1:11" x14ac:dyDescent="0.2">
      <c r="A8" s="14" t="s">
        <v>51</v>
      </c>
      <c r="B8" s="15" t="s">
        <v>52</v>
      </c>
      <c r="C8" s="11" t="s">
        <v>44</v>
      </c>
      <c r="D8" s="11"/>
      <c r="E8" s="11" t="s">
        <v>53</v>
      </c>
      <c r="F8" s="11">
        <v>50</v>
      </c>
      <c r="G8" s="11" t="s">
        <v>54</v>
      </c>
    </row>
    <row r="9" spans="1:11" x14ac:dyDescent="0.2">
      <c r="A9" s="111" t="s">
        <v>183</v>
      </c>
      <c r="B9" s="112" t="s">
        <v>184</v>
      </c>
      <c r="C9" s="113" t="s">
        <v>40</v>
      </c>
      <c r="D9" s="113"/>
      <c r="E9" s="113" t="s">
        <v>185</v>
      </c>
      <c r="F9" s="114">
        <v>3500</v>
      </c>
      <c r="G9" s="113" t="s">
        <v>54</v>
      </c>
    </row>
    <row r="10" spans="1:11" x14ac:dyDescent="0.2">
      <c r="A10" s="14" t="s">
        <v>55</v>
      </c>
      <c r="B10" s="15" t="s">
        <v>56</v>
      </c>
      <c r="C10" s="11" t="s">
        <v>57</v>
      </c>
      <c r="D10" s="11"/>
      <c r="E10" s="11" t="s">
        <v>58</v>
      </c>
      <c r="F10" s="11" t="s">
        <v>59</v>
      </c>
      <c r="G10" s="11" t="str">
        <f xml:space="preserve"> "LOC"</f>
        <v>LOC</v>
      </c>
    </row>
    <row r="12" spans="1:11" ht="18" x14ac:dyDescent="0.25">
      <c r="A12" s="16" t="s">
        <v>60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x14ac:dyDescent="0.2">
      <c r="A13" s="18" t="s">
        <v>61</v>
      </c>
      <c r="B13" s="19" t="s">
        <v>62</v>
      </c>
      <c r="C13" s="20" t="s">
        <v>63</v>
      </c>
      <c r="D13" s="20"/>
      <c r="E13" s="20" t="s">
        <v>36</v>
      </c>
      <c r="F13" s="21" t="s">
        <v>64</v>
      </c>
      <c r="G13" s="20" t="s">
        <v>65</v>
      </c>
    </row>
    <row r="14" spans="1:11" ht="95" customHeight="1" x14ac:dyDescent="0.2">
      <c r="A14" s="23">
        <v>2.1</v>
      </c>
      <c r="B14" s="24" t="s">
        <v>66</v>
      </c>
      <c r="C14" s="26" t="s">
        <v>67</v>
      </c>
      <c r="D14" s="26"/>
      <c r="E14" s="22" t="s">
        <v>68</v>
      </c>
      <c r="F14" s="23">
        <v>1</v>
      </c>
      <c r="G14" s="28" t="s">
        <v>69</v>
      </c>
    </row>
    <row r="15" spans="1:11" ht="95" customHeight="1" x14ac:dyDescent="0.2">
      <c r="A15" s="29">
        <v>2.2000000000000002</v>
      </c>
      <c r="B15" s="15" t="s">
        <v>70</v>
      </c>
      <c r="C15" s="25" t="s">
        <v>71</v>
      </c>
      <c r="D15" s="25"/>
      <c r="E15" s="11" t="s">
        <v>72</v>
      </c>
      <c r="F15" s="29">
        <v>1</v>
      </c>
      <c r="G15" s="27" t="s">
        <v>73</v>
      </c>
    </row>
    <row r="16" spans="1:11" ht="95" customHeight="1" x14ac:dyDescent="0.2">
      <c r="A16" s="23">
        <v>2.2999999999999998</v>
      </c>
      <c r="B16" s="24" t="s">
        <v>74</v>
      </c>
      <c r="C16" s="26" t="s">
        <v>75</v>
      </c>
      <c r="D16" s="26"/>
      <c r="E16" s="22" t="s">
        <v>76</v>
      </c>
      <c r="F16" s="23">
        <v>1</v>
      </c>
      <c r="G16" s="28" t="s">
        <v>77</v>
      </c>
    </row>
    <row r="17" spans="1:11" ht="95" customHeight="1" x14ac:dyDescent="0.2">
      <c r="A17" s="29">
        <v>2.4</v>
      </c>
      <c r="B17" s="15" t="s">
        <v>78</v>
      </c>
      <c r="C17" s="25" t="s">
        <v>67</v>
      </c>
      <c r="D17" s="25"/>
      <c r="E17" s="11" t="s">
        <v>79</v>
      </c>
      <c r="F17" s="29">
        <v>2</v>
      </c>
      <c r="G17" s="27" t="s">
        <v>80</v>
      </c>
    </row>
    <row r="18" spans="1:11" ht="95" customHeight="1" x14ac:dyDescent="0.2">
      <c r="A18" s="23">
        <v>2.5</v>
      </c>
      <c r="B18" s="24" t="s">
        <v>81</v>
      </c>
      <c r="C18" s="26" t="s">
        <v>71</v>
      </c>
      <c r="D18" s="26"/>
      <c r="E18" s="22" t="s">
        <v>82</v>
      </c>
      <c r="F18" s="23">
        <v>2</v>
      </c>
      <c r="G18" s="28" t="s">
        <v>83</v>
      </c>
    </row>
    <row r="19" spans="1:11" ht="95" customHeight="1" x14ac:dyDescent="0.2">
      <c r="A19" s="29">
        <v>2.6</v>
      </c>
      <c r="B19" s="15" t="s">
        <v>84</v>
      </c>
      <c r="C19" s="25" t="s">
        <v>75</v>
      </c>
      <c r="D19" s="25"/>
      <c r="E19" s="11" t="s">
        <v>85</v>
      </c>
      <c r="F19" s="29">
        <v>2</v>
      </c>
      <c r="G19" s="27" t="s">
        <v>86</v>
      </c>
    </row>
    <row r="21" spans="1:11" ht="18" x14ac:dyDescent="0.25">
      <c r="A21" s="30" t="s">
        <v>87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spans="1:11" x14ac:dyDescent="0.2">
      <c r="A22" s="33" t="s">
        <v>61</v>
      </c>
      <c r="B22" s="32" t="s">
        <v>62</v>
      </c>
      <c r="C22" s="32" t="s">
        <v>88</v>
      </c>
      <c r="D22" s="32"/>
      <c r="E22" s="32" t="s">
        <v>36</v>
      </c>
      <c r="F22" s="33" t="s">
        <v>64</v>
      </c>
      <c r="G22" s="32" t="s">
        <v>65</v>
      </c>
    </row>
    <row r="23" spans="1:11" ht="105" customHeight="1" x14ac:dyDescent="0.2">
      <c r="A23" s="35">
        <v>3.1</v>
      </c>
      <c r="B23" s="36" t="s">
        <v>89</v>
      </c>
      <c r="C23" s="38" t="s">
        <v>90</v>
      </c>
      <c r="D23" s="38"/>
      <c r="E23" s="34" t="s">
        <v>91</v>
      </c>
      <c r="F23" s="35">
        <v>3</v>
      </c>
      <c r="G23" s="39" t="s">
        <v>92</v>
      </c>
    </row>
    <row r="24" spans="1:11" ht="105" customHeight="1" x14ac:dyDescent="0.2">
      <c r="A24" s="29">
        <v>3.2</v>
      </c>
      <c r="B24" s="15" t="s">
        <v>93</v>
      </c>
      <c r="C24" s="37" t="s">
        <v>90</v>
      </c>
      <c r="D24" s="37"/>
      <c r="E24" s="11" t="s">
        <v>94</v>
      </c>
      <c r="F24" s="29">
        <v>3</v>
      </c>
      <c r="G24" s="27" t="s">
        <v>95</v>
      </c>
    </row>
    <row r="25" spans="1:11" ht="105" customHeight="1" x14ac:dyDescent="0.2">
      <c r="A25" s="35">
        <v>3.3</v>
      </c>
      <c r="B25" s="36" t="s">
        <v>96</v>
      </c>
      <c r="C25" s="38" t="s">
        <v>90</v>
      </c>
      <c r="D25" s="38"/>
      <c r="E25" s="34" t="s">
        <v>97</v>
      </c>
      <c r="F25" s="35">
        <v>3</v>
      </c>
      <c r="G25" s="39" t="s">
        <v>98</v>
      </c>
    </row>
    <row r="26" spans="1:11" ht="105" customHeight="1" x14ac:dyDescent="0.2">
      <c r="A26" s="29">
        <v>3.4</v>
      </c>
      <c r="B26" s="15" t="s">
        <v>99</v>
      </c>
      <c r="C26" s="40" t="s">
        <v>100</v>
      </c>
      <c r="D26" s="40"/>
      <c r="E26" s="11" t="s">
        <v>101</v>
      </c>
      <c r="F26" s="29">
        <v>3</v>
      </c>
      <c r="G26" s="27" t="s">
        <v>102</v>
      </c>
    </row>
    <row r="28" spans="1:11" ht="18" x14ac:dyDescent="0.25">
      <c r="A28" s="41" t="s">
        <v>103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spans="1:11" x14ac:dyDescent="0.2">
      <c r="A29" s="43" t="s">
        <v>104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spans="1:11" x14ac:dyDescent="0.2">
      <c r="A30" s="43" t="s">
        <v>203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 x14ac:dyDescent="0.2">
      <c r="A31" s="46" t="s">
        <v>61</v>
      </c>
      <c r="B31" s="45" t="s">
        <v>105</v>
      </c>
      <c r="C31" s="45" t="s">
        <v>106</v>
      </c>
      <c r="D31" s="45"/>
      <c r="E31" s="45" t="s">
        <v>107</v>
      </c>
      <c r="F31" s="45" t="s">
        <v>108</v>
      </c>
      <c r="G31" s="45" t="s">
        <v>65</v>
      </c>
    </row>
    <row r="32" spans="1:11" ht="120" customHeight="1" x14ac:dyDescent="0.2">
      <c r="A32" s="48">
        <v>4.0999999999999996</v>
      </c>
      <c r="B32" s="50" t="s">
        <v>109</v>
      </c>
      <c r="C32" s="51" t="s">
        <v>110</v>
      </c>
      <c r="D32" s="51"/>
      <c r="E32" s="53" t="s">
        <v>111</v>
      </c>
      <c r="F32" s="55" t="s">
        <v>112</v>
      </c>
      <c r="G32" s="56" t="s">
        <v>113</v>
      </c>
    </row>
    <row r="33" spans="1:11" ht="120" customHeight="1" x14ac:dyDescent="0.2">
      <c r="A33" s="29">
        <v>4.2</v>
      </c>
      <c r="B33" s="49" t="s">
        <v>114</v>
      </c>
      <c r="C33" s="40" t="s">
        <v>115</v>
      </c>
      <c r="D33" s="40"/>
      <c r="E33" s="52" t="s">
        <v>116</v>
      </c>
      <c r="F33" s="54" t="s">
        <v>12</v>
      </c>
      <c r="G33" s="27" t="s">
        <v>117</v>
      </c>
    </row>
    <row r="34" spans="1:11" ht="120" customHeight="1" x14ac:dyDescent="0.2">
      <c r="A34" s="48">
        <v>4.3</v>
      </c>
      <c r="B34" s="50" t="s">
        <v>186</v>
      </c>
      <c r="C34" s="51" t="s">
        <v>187</v>
      </c>
      <c r="D34" s="51"/>
      <c r="E34" s="53" t="s">
        <v>188</v>
      </c>
      <c r="F34" s="115" t="s">
        <v>189</v>
      </c>
      <c r="G34" s="56" t="s">
        <v>190</v>
      </c>
    </row>
    <row r="35" spans="1:11" ht="120" customHeight="1" x14ac:dyDescent="0.2">
      <c r="A35" s="48">
        <v>4.4000000000000004</v>
      </c>
      <c r="B35" s="47" t="s">
        <v>118</v>
      </c>
      <c r="C35" s="51" t="s">
        <v>119</v>
      </c>
      <c r="D35" s="51"/>
      <c r="E35" s="53" t="s">
        <v>120</v>
      </c>
      <c r="F35" s="55" t="s">
        <v>121</v>
      </c>
      <c r="G35" s="56" t="s">
        <v>122</v>
      </c>
    </row>
    <row r="36" spans="1:11" ht="120" customHeight="1" x14ac:dyDescent="0.2">
      <c r="A36" s="48">
        <v>4.5</v>
      </c>
      <c r="B36" s="11" t="s">
        <v>123</v>
      </c>
      <c r="C36" s="40" t="s">
        <v>124</v>
      </c>
      <c r="D36" s="40"/>
      <c r="E36" s="52" t="s">
        <v>125</v>
      </c>
      <c r="F36" s="54" t="s">
        <v>126</v>
      </c>
      <c r="G36" s="27" t="s">
        <v>127</v>
      </c>
    </row>
    <row r="38" spans="1:11" ht="18" x14ac:dyDescent="0.25">
      <c r="A38" s="57" t="s">
        <v>128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</row>
    <row r="39" spans="1:11" x14ac:dyDescent="0.2">
      <c r="A39" s="59" t="s">
        <v>108</v>
      </c>
      <c r="B39" s="59" t="s">
        <v>34</v>
      </c>
      <c r="C39" s="59" t="s">
        <v>35</v>
      </c>
      <c r="D39" s="59"/>
      <c r="E39" s="59" t="s">
        <v>36</v>
      </c>
      <c r="F39" s="59" t="s">
        <v>37</v>
      </c>
    </row>
    <row r="40" spans="1:11" x14ac:dyDescent="0.2">
      <c r="A40" s="60" t="s">
        <v>112</v>
      </c>
      <c r="B40" s="15" t="s">
        <v>129</v>
      </c>
      <c r="C40" s="11" t="s">
        <v>40</v>
      </c>
      <c r="D40" s="11"/>
      <c r="E40" s="11" t="s">
        <v>130</v>
      </c>
      <c r="F40" s="61">
        <v>1666.67</v>
      </c>
    </row>
    <row r="41" spans="1:11" x14ac:dyDescent="0.2">
      <c r="A41" s="62" t="s">
        <v>12</v>
      </c>
      <c r="B41" s="63" t="s">
        <v>131</v>
      </c>
      <c r="C41" s="64" t="s">
        <v>40</v>
      </c>
      <c r="D41" s="64"/>
      <c r="E41" s="64" t="s">
        <v>132</v>
      </c>
      <c r="F41" s="65">
        <v>1650</v>
      </c>
    </row>
    <row r="42" spans="1:11" x14ac:dyDescent="0.2">
      <c r="A42" s="60" t="s">
        <v>121</v>
      </c>
      <c r="B42" s="15" t="s">
        <v>133</v>
      </c>
      <c r="C42" s="11" t="s">
        <v>40</v>
      </c>
      <c r="D42" s="11"/>
      <c r="E42" s="11" t="s">
        <v>134</v>
      </c>
      <c r="F42" s="11">
        <v>330</v>
      </c>
    </row>
    <row r="43" spans="1:11" x14ac:dyDescent="0.2">
      <c r="A43" s="62" t="s">
        <v>126</v>
      </c>
      <c r="B43" s="63" t="s">
        <v>135</v>
      </c>
      <c r="C43" s="64" t="s">
        <v>40</v>
      </c>
      <c r="D43" s="64"/>
      <c r="E43" s="64" t="s">
        <v>136</v>
      </c>
      <c r="F43" s="66">
        <v>1980</v>
      </c>
    </row>
    <row r="44" spans="1:11" x14ac:dyDescent="0.2">
      <c r="A44" s="60" t="s">
        <v>137</v>
      </c>
      <c r="B44" s="15" t="s">
        <v>138</v>
      </c>
      <c r="C44" s="11" t="s">
        <v>57</v>
      </c>
      <c r="D44" s="11"/>
      <c r="E44" s="11" t="s">
        <v>139</v>
      </c>
      <c r="F44" s="67" t="s">
        <v>140</v>
      </c>
    </row>
    <row r="45" spans="1:11" x14ac:dyDescent="0.2">
      <c r="A45" s="62" t="s">
        <v>141</v>
      </c>
      <c r="B45" s="63" t="s">
        <v>142</v>
      </c>
      <c r="C45" s="64" t="s">
        <v>57</v>
      </c>
      <c r="D45" s="64"/>
      <c r="E45" s="64" t="s">
        <v>143</v>
      </c>
      <c r="F45" s="64" t="s">
        <v>144</v>
      </c>
    </row>
    <row r="47" spans="1:11" ht="18" x14ac:dyDescent="0.25">
      <c r="A47" s="68" t="s">
        <v>145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1:11" x14ac:dyDescent="0.2">
      <c r="A48" s="70" t="s">
        <v>146</v>
      </c>
    </row>
    <row r="50" spans="1:11" x14ac:dyDescent="0.2">
      <c r="A50" s="71" t="s">
        <v>147</v>
      </c>
      <c r="B50" s="71" t="s">
        <v>10</v>
      </c>
      <c r="C50" s="71" t="s">
        <v>191</v>
      </c>
      <c r="D50" s="71" t="s">
        <v>192</v>
      </c>
      <c r="E50" s="71" t="s">
        <v>15</v>
      </c>
      <c r="F50" s="71" t="s">
        <v>148</v>
      </c>
    </row>
    <row r="51" spans="1:11" x14ac:dyDescent="0.2">
      <c r="A51" s="29">
        <v>2</v>
      </c>
      <c r="B51" s="72">
        <v>0.2</v>
      </c>
      <c r="C51" s="73">
        <v>1650</v>
      </c>
      <c r="D51" s="73">
        <v>1650</v>
      </c>
      <c r="E51" s="29">
        <v>330</v>
      </c>
      <c r="F51" s="74">
        <v>1980</v>
      </c>
    </row>
    <row r="52" spans="1:11" x14ac:dyDescent="0.2">
      <c r="A52" s="76">
        <v>3</v>
      </c>
      <c r="B52" s="77">
        <v>0.05</v>
      </c>
      <c r="C52" s="78">
        <v>2850</v>
      </c>
      <c r="D52" s="78">
        <v>2850</v>
      </c>
      <c r="E52" s="76">
        <v>142.5</v>
      </c>
      <c r="F52" s="79">
        <v>2992.5</v>
      </c>
    </row>
    <row r="53" spans="1:11" x14ac:dyDescent="0.2">
      <c r="A53" s="29">
        <v>4</v>
      </c>
      <c r="B53" s="72">
        <v>0.05</v>
      </c>
      <c r="C53" s="73">
        <v>3800</v>
      </c>
      <c r="D53" s="116" t="s">
        <v>193</v>
      </c>
      <c r="E53" s="29">
        <v>175</v>
      </c>
      <c r="F53" s="74">
        <v>3675</v>
      </c>
    </row>
    <row r="54" spans="1:11" x14ac:dyDescent="0.2">
      <c r="A54" s="76">
        <v>5</v>
      </c>
      <c r="B54" s="77">
        <v>0.05</v>
      </c>
      <c r="C54" s="78">
        <v>4750</v>
      </c>
      <c r="D54" s="117" t="s">
        <v>193</v>
      </c>
      <c r="E54" s="76">
        <v>175</v>
      </c>
      <c r="F54" s="79">
        <v>3675</v>
      </c>
    </row>
    <row r="56" spans="1:11" ht="18" x14ac:dyDescent="0.25">
      <c r="A56" s="80" t="s">
        <v>149</v>
      </c>
      <c r="B56" s="81"/>
      <c r="C56" s="81"/>
      <c r="D56" s="81"/>
      <c r="E56" s="81"/>
      <c r="F56" s="81"/>
      <c r="G56" s="81"/>
      <c r="H56" s="81"/>
      <c r="I56" s="81"/>
      <c r="J56" s="81"/>
      <c r="K56" s="81"/>
    </row>
    <row r="57" spans="1:11" ht="280" customHeight="1" x14ac:dyDescent="0.2">
      <c r="A57" s="82" t="s">
        <v>194</v>
      </c>
    </row>
    <row r="59" spans="1:11" ht="18" x14ac:dyDescent="0.25">
      <c r="A59" s="83" t="s">
        <v>150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</row>
    <row r="60" spans="1:11" x14ac:dyDescent="0.2">
      <c r="A60" s="86" t="s">
        <v>151</v>
      </c>
      <c r="B60" s="86" t="s">
        <v>152</v>
      </c>
      <c r="C60" s="85" t="s">
        <v>153</v>
      </c>
      <c r="D60" s="85"/>
      <c r="E60" s="85" t="s">
        <v>154</v>
      </c>
      <c r="F60" s="85" t="s">
        <v>36</v>
      </c>
      <c r="G60" s="85" t="s">
        <v>155</v>
      </c>
    </row>
    <row r="61" spans="1:11" ht="65" customHeight="1" x14ac:dyDescent="0.2">
      <c r="A61" s="87" t="s">
        <v>156</v>
      </c>
      <c r="B61" s="88">
        <v>100</v>
      </c>
      <c r="C61" s="20" t="s">
        <v>157</v>
      </c>
      <c r="D61" s="20"/>
      <c r="E61" s="90" t="s">
        <v>158</v>
      </c>
      <c r="F61" s="75" t="s">
        <v>159</v>
      </c>
      <c r="G61" s="92" t="s">
        <v>160</v>
      </c>
    </row>
    <row r="62" spans="1:11" ht="65" customHeight="1" x14ac:dyDescent="0.2">
      <c r="A62" s="87" t="s">
        <v>161</v>
      </c>
      <c r="B62" s="93">
        <v>90</v>
      </c>
      <c r="C62" s="12" t="s">
        <v>157</v>
      </c>
      <c r="D62" s="12"/>
      <c r="E62" s="89" t="s">
        <v>162</v>
      </c>
      <c r="F62" s="11" t="s">
        <v>163</v>
      </c>
      <c r="G62" s="91" t="s">
        <v>164</v>
      </c>
    </row>
    <row r="63" spans="1:11" ht="65" customHeight="1" x14ac:dyDescent="0.2">
      <c r="A63" s="94" t="s">
        <v>165</v>
      </c>
      <c r="B63" s="95">
        <v>80</v>
      </c>
      <c r="C63" s="32" t="s">
        <v>166</v>
      </c>
      <c r="D63" s="32"/>
      <c r="E63" s="96" t="s">
        <v>167</v>
      </c>
      <c r="F63" s="97" t="s">
        <v>168</v>
      </c>
      <c r="G63" s="98" t="s">
        <v>169</v>
      </c>
    </row>
    <row r="64" spans="1:11" ht="65" customHeight="1" x14ac:dyDescent="0.2">
      <c r="A64" s="99" t="s">
        <v>170</v>
      </c>
      <c r="B64" s="100" t="s">
        <v>171</v>
      </c>
      <c r="C64" s="101" t="s">
        <v>172</v>
      </c>
      <c r="D64" s="118" t="s">
        <v>195</v>
      </c>
      <c r="E64" s="119" t="s">
        <v>196</v>
      </c>
      <c r="F64" s="102" t="s">
        <v>173</v>
      </c>
      <c r="G64" s="103" t="s">
        <v>197</v>
      </c>
    </row>
    <row r="65" spans="1:11" ht="65" customHeight="1" x14ac:dyDescent="0.2">
      <c r="A65" s="104" t="s">
        <v>174</v>
      </c>
      <c r="B65" s="105">
        <v>10</v>
      </c>
      <c r="C65" s="59" t="s">
        <v>175</v>
      </c>
      <c r="D65" s="59"/>
      <c r="E65" s="106" t="s">
        <v>176</v>
      </c>
      <c r="F65" s="107" t="s">
        <v>177</v>
      </c>
      <c r="G65" s="108" t="s">
        <v>178</v>
      </c>
    </row>
    <row r="67" spans="1:11" ht="18" x14ac:dyDescent="0.25">
      <c r="A67" s="109" t="s">
        <v>179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</row>
    <row r="68" spans="1:11" x14ac:dyDescent="0.2">
      <c r="A68" s="11" t="s">
        <v>180</v>
      </c>
    </row>
    <row r="69" spans="1:11" x14ac:dyDescent="0.2">
      <c r="A69" s="11" t="s">
        <v>181</v>
      </c>
    </row>
    <row r="70" spans="1:11" x14ac:dyDescent="0.2">
      <c r="A70" s="67" t="s">
        <v>198</v>
      </c>
    </row>
    <row r="71" spans="1:11" x14ac:dyDescent="0.2">
      <c r="A71" s="11" t="s">
        <v>199</v>
      </c>
    </row>
    <row r="72" spans="1:11" x14ac:dyDescent="0.2">
      <c r="A72" s="11" t="s">
        <v>182</v>
      </c>
    </row>
    <row r="73" spans="1:11" x14ac:dyDescent="0.2">
      <c r="A73" s="11" t="s">
        <v>200</v>
      </c>
    </row>
    <row r="74" spans="1:11" x14ac:dyDescent="0.2">
      <c r="A74" s="11" t="s">
        <v>201</v>
      </c>
    </row>
    <row r="75" spans="1:11" x14ac:dyDescent="0.2">
      <c r="A75" s="67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LOC_KIE_Rules</vt:lpstr>
    </vt:vector>
  </TitlesOfParts>
  <Company>Banco Industrial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Maldonado Campos,Oscar Antonio</dc:creator>
  <cp:lastModifiedBy>Eric Chirum</cp:lastModifiedBy>
  <dcterms:created xsi:type="dcterms:W3CDTF">2025-10-29T14:07:42Z</dcterms:created>
  <dcterms:modified xsi:type="dcterms:W3CDTF">2026-02-27T05:36:37Z</dcterms:modified>
</cp:coreProperties>
</file>